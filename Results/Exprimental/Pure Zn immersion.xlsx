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360" windowWidth="29040" windowHeight="15720" tabRatio="600" firstSheet="0" activeTab="0" autoFilterDateGrouping="1"/>
  </bookViews>
  <sheets>
    <sheet xmlns:r="http://schemas.openxmlformats.org/officeDocument/2006/relationships" name="Specimen Data" sheetId="1" state="visible" r:id="rId1"/>
    <sheet xmlns:r="http://schemas.openxmlformats.org/officeDocument/2006/relationships" name="Summary by Duratio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00"/>
    <numFmt numFmtId="167" formatCode="0.000000"/>
  </numFmts>
  <fonts count="10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Calibri"/>
      <b val="1"/>
      <color rgb="00FFFFFF"/>
      <sz val="14"/>
    </font>
    <font>
      <name val="Calibri"/>
      <b val="1"/>
      <sz val="9"/>
    </font>
    <font>
      <name val="Calibri"/>
      <sz val="9"/>
    </font>
    <font>
      <name val="Calibri"/>
      <color rgb="00008000"/>
    </font>
    <font>
      <name val="Calibri"/>
      <b val="1"/>
      <sz val="10"/>
    </font>
    <font>
      <name val="Calibri"/>
      <color rgb="00000000"/>
    </font>
    <font>
      <name val="Calibri"/>
    </font>
    <font>
      <name val="Calibri"/>
      <color rgb="000000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2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6" fontId="7" fillId="0" borderId="1" pivotButton="0" quotePrefix="0" xfId="0"/>
    <xf numFmtId="167" fontId="7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6" fontId="7" fillId="0" borderId="1" pivotButton="0" quotePrefix="0" xfId="0"/>
    <xf numFmtId="167" fontId="7" fillId="0" borderId="1" pivotButton="0" quotePrefix="0" xfId="0"/>
    <xf numFmtId="0" fontId="8" fillId="0" borderId="1" pivotButton="0" quotePrefix="0" xfId="0"/>
    <xf numFmtId="166" fontId="8" fillId="0" borderId="1" pivotButton="0" quotePrefix="0" xfId="0"/>
    <xf numFmtId="0" fontId="5" fillId="0" borderId="1" pivotButton="0" quotePrefix="0" xfId="0"/>
    <xf numFmtId="166" fontId="5" fillId="0" borderId="1" pivotButton="0" quotePrefix="0" xfId="0"/>
    <xf numFmtId="2" fontId="9" fillId="0" borderId="0" pivotButton="0" quotePrefix="0" xfId="0"/>
    <xf numFmtId="164" fontId="9" fillId="0" borderId="1" pivotButton="0" quotePrefix="0" xfId="0"/>
    <xf numFmtId="165" fontId="9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Weight Loss (%) vs. Time</a:t>
            </a:r>
          </a:p>
        </rich>
      </tx>
    </title>
    <plotArea>
      <scatterChart>
        <ser>
          <idx val="0"/>
          <order val="0"/>
          <tx>
            <v>Avg Weight Loss (%)</v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'Summary by Duration'!$B$4:$B$9</f>
            </numRef>
          </xVal>
          <yVal>
            <numRef>
              <f>'Summary by Duration'!$D$4:$D$9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(h)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Weight Loss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Degradation Rate (mm/year) vs. Time</a:t>
            </a:r>
          </a:p>
        </rich>
      </tx>
    </title>
    <plotArea>
      <scatterChart>
        <ser>
          <idx val="0"/>
          <order val="0"/>
          <tx>
            <v>Avg Degradation Rate (mm/year)</v>
          </tx>
          <spPr>
            <a:ln xmlns:a="http://schemas.openxmlformats.org/drawingml/2006/main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'Summary by Duration'!$B$4:$B$9</f>
            </numRef>
          </xVal>
          <yVal>
            <numRef>
              <f>'Summary by Duration'!$F$4:$F$9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(h)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Degradation Rate (mm/year)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5" customWidth="1" min="4" max="4"/>
    <col width="12" customWidth="1" min="5" max="5"/>
    <col width="20" customWidth="1" min="6" max="6"/>
    <col width="14" customWidth="1" min="7" max="7"/>
    <col width="13" customWidth="1" min="8" max="8"/>
    <col width="20" customWidth="1" min="9" max="9"/>
  </cols>
  <sheetData>
    <row r="1" ht="24" customHeight="1">
      <c r="A1" s="3" t="inlineStr">
        <is>
          <t>Pure Zn -- 28-Day HBSS Immersion: Specimen-Level Data</t>
        </is>
      </c>
    </row>
    <row r="3">
      <c r="A3" s="4" t="inlineStr">
        <is>
          <t>Material</t>
        </is>
      </c>
      <c r="B3" s="5" t="inlineStr">
        <is>
          <t>Pure Zn</t>
        </is>
      </c>
    </row>
    <row r="4">
      <c r="A4" s="4" t="inlineStr">
        <is>
          <t>Density (g/cm³)</t>
        </is>
      </c>
      <c r="B4" s="21" t="n">
        <v>7.13</v>
      </c>
    </row>
    <row r="6" ht="30" customHeight="1">
      <c r="A6" s="7" t="inlineStr">
        <is>
          <t>Duration (days)</t>
        </is>
      </c>
      <c r="B6" s="7" t="inlineStr">
        <is>
          <t>Time (h)</t>
        </is>
      </c>
      <c r="C6" s="7" t="inlineStr">
        <is>
          <t>Specimen #</t>
        </is>
      </c>
      <c r="D6" s="7" t="inlineStr">
        <is>
          <t>Initial Weight (mg)</t>
        </is>
      </c>
      <c r="E6" s="7" t="inlineStr">
        <is>
          <t>Area (mm²)</t>
        </is>
      </c>
      <c r="F6" s="7" t="inlineStr">
        <is>
          <t>After-Immersion Weight (mg)</t>
        </is>
      </c>
      <c r="G6" s="7" t="inlineStr">
        <is>
          <t>Weight Loss (mg)</t>
        </is>
      </c>
      <c r="H6" s="7" t="inlineStr">
        <is>
          <t>Weight Loss (%)</t>
        </is>
      </c>
      <c r="I6" s="7" t="inlineStr">
        <is>
          <t>Degradation Rate (mm/year)</t>
        </is>
      </c>
    </row>
    <row r="7">
      <c r="A7" s="8" t="n">
        <v>1</v>
      </c>
      <c r="B7" s="8" t="n">
        <v>24</v>
      </c>
      <c r="C7" s="8" t="n">
        <v>1</v>
      </c>
      <c r="D7" s="22" t="n">
        <v>1004.3</v>
      </c>
      <c r="E7" s="23" t="n">
        <v>230.2096755878</v>
      </c>
      <c r="F7" s="22" t="n">
        <v>1003.7</v>
      </c>
      <c r="G7" s="15">
        <f>IF(F7="","",D7-F7)</f>
        <v/>
      </c>
      <c r="H7" s="15">
        <f>IF(F7="","",G7/D7*100)</f>
        <v/>
      </c>
      <c r="I7" s="16">
        <f>IF(F7="","",8760*G7/(E7*B7*$B$4))</f>
        <v/>
      </c>
    </row>
    <row r="8">
      <c r="A8" s="8" t="n">
        <v>1</v>
      </c>
      <c r="B8" s="8" t="n">
        <v>24</v>
      </c>
      <c r="C8" s="8" t="n">
        <v>2</v>
      </c>
      <c r="D8" s="22" t="n">
        <v>1043.2</v>
      </c>
      <c r="E8" s="23" t="n">
        <v>232.51686202044</v>
      </c>
      <c r="F8" s="22" t="n"/>
      <c r="G8" s="15">
        <f>IF(F8="","",D8-F8)</f>
        <v/>
      </c>
      <c r="H8" s="15">
        <f>IF(F8="","",G8/D8*100)</f>
        <v/>
      </c>
      <c r="I8" s="16">
        <f>IF(F8="","",8760*G8/(E8*B8*$B$4))</f>
        <v/>
      </c>
    </row>
    <row r="9">
      <c r="A9" s="8" t="n">
        <v>1</v>
      </c>
      <c r="B9" s="8" t="n">
        <v>24</v>
      </c>
      <c r="C9" s="8" t="n">
        <v>3</v>
      </c>
      <c r="D9" s="22" t="n">
        <v>1060.7</v>
      </c>
      <c r="E9" s="23" t="n">
        <v>232.83903182382</v>
      </c>
      <c r="F9" s="22" t="n">
        <v>1060.2</v>
      </c>
      <c r="G9" s="15">
        <f>IF(F9="","",D9-F9)</f>
        <v/>
      </c>
      <c r="H9" s="15">
        <f>IF(F9="","",G9/D9*100)</f>
        <v/>
      </c>
      <c r="I9" s="16">
        <f>IF(F9="","",8760*G9/(E9*B9*$B$4))</f>
        <v/>
      </c>
    </row>
    <row r="10">
      <c r="A10" s="8" t="n">
        <v>1</v>
      </c>
      <c r="B10" s="8" t="n">
        <v>24</v>
      </c>
      <c r="C10" s="8" t="n">
        <v>4</v>
      </c>
      <c r="D10" s="22" t="n">
        <v>1079.7</v>
      </c>
      <c r="E10" s="23" t="n">
        <v>236.68120061162</v>
      </c>
      <c r="F10" s="22" t="n"/>
      <c r="G10" s="15">
        <f>IF(F10="","",D10-F10)</f>
        <v/>
      </c>
      <c r="H10" s="15">
        <f>IF(F10="","",G10/D10*100)</f>
        <v/>
      </c>
      <c r="I10" s="16">
        <f>IF(F10="","",8760*G10/(E10*B10*$B$4))</f>
        <v/>
      </c>
    </row>
    <row r="11">
      <c r="A11" s="8" t="n">
        <v>1</v>
      </c>
      <c r="B11" s="8" t="n">
        <v>24</v>
      </c>
      <c r="C11" s="8" t="n">
        <v>5</v>
      </c>
      <c r="D11" s="22" t="n">
        <v>1067.8</v>
      </c>
      <c r="E11" s="23" t="n">
        <v>234.37212942662</v>
      </c>
      <c r="F11" s="22" t="n">
        <v>1067.5</v>
      </c>
      <c r="G11" s="15">
        <f>IF(F11="","",D11-F11)</f>
        <v/>
      </c>
      <c r="H11" s="15">
        <f>IF(F11="","",G11/D11*100)</f>
        <v/>
      </c>
      <c r="I11" s="16">
        <f>IF(F11="","",8760*G11/(E11*B11*$B$4))</f>
        <v/>
      </c>
    </row>
    <row r="12">
      <c r="A12" s="8" t="n">
        <v>3</v>
      </c>
      <c r="B12" s="8" t="n">
        <v>72</v>
      </c>
      <c r="C12" s="8" t="n">
        <v>1</v>
      </c>
      <c r="D12" s="22" t="n">
        <v>1144</v>
      </c>
      <c r="E12" s="23" t="n">
        <v>241.2076074385</v>
      </c>
      <c r="F12" s="22" t="n">
        <v>1143.2</v>
      </c>
      <c r="G12" s="15">
        <f>IF(F12="","",D12-F12)</f>
        <v/>
      </c>
      <c r="H12" s="15">
        <f>IF(F12="","",G12/D12*100)</f>
        <v/>
      </c>
      <c r="I12" s="16">
        <f>IF(F12="","",8760*G12/(E12*B12*$B$4))</f>
        <v/>
      </c>
    </row>
    <row r="13">
      <c r="A13" s="8" t="n">
        <v>3</v>
      </c>
      <c r="B13" s="8" t="n">
        <v>72</v>
      </c>
      <c r="C13" s="8" t="n">
        <v>2</v>
      </c>
      <c r="D13" s="22" t="n">
        <v>1174.8</v>
      </c>
      <c r="E13" s="23" t="n">
        <v>244.2595078837201</v>
      </c>
      <c r="F13" s="22" t="n">
        <v>1173.6</v>
      </c>
      <c r="G13" s="15">
        <f>IF(F13="","",D13-F13)</f>
        <v/>
      </c>
      <c r="H13" s="15">
        <f>IF(F13="","",G13/D13*100)</f>
        <v/>
      </c>
      <c r="I13" s="16">
        <f>IF(F13="","",8760*G13/(E13*B13*$B$4))</f>
        <v/>
      </c>
    </row>
    <row r="14">
      <c r="A14" s="8" t="n">
        <v>3</v>
      </c>
      <c r="B14" s="8" t="n">
        <v>72</v>
      </c>
      <c r="C14" s="8" t="n">
        <v>3</v>
      </c>
      <c r="D14" s="22" t="n">
        <v>1175.9</v>
      </c>
      <c r="E14" s="23" t="n">
        <v>243.4759944798801</v>
      </c>
      <c r="F14" s="22" t="n"/>
      <c r="G14" s="15">
        <f>IF(F14="","",D14-F14)</f>
        <v/>
      </c>
      <c r="H14" s="15">
        <f>IF(F14="","",G14/D14*100)</f>
        <v/>
      </c>
      <c r="I14" s="16">
        <f>IF(F14="","",8760*G14/(E14*B14*$B$4))</f>
        <v/>
      </c>
    </row>
    <row r="15">
      <c r="A15" s="8" t="n">
        <v>3</v>
      </c>
      <c r="B15" s="8" t="n">
        <v>72</v>
      </c>
      <c r="C15" s="8" t="n">
        <v>4</v>
      </c>
      <c r="D15" s="22" t="n">
        <v>1125.4</v>
      </c>
      <c r="E15" s="23" t="n">
        <v>241.5973221050801</v>
      </c>
      <c r="F15" s="22" t="n">
        <v>1123.8</v>
      </c>
      <c r="G15" s="15">
        <f>IF(F15="","",D15-F15)</f>
        <v/>
      </c>
      <c r="H15" s="15">
        <f>IF(F15="","",G15/D15*100)</f>
        <v/>
      </c>
      <c r="I15" s="16">
        <f>IF(F15="","",8760*G15/(E15*B15*$B$4))</f>
        <v/>
      </c>
    </row>
    <row r="16">
      <c r="A16" s="8" t="n">
        <v>3</v>
      </c>
      <c r="B16" s="8" t="n">
        <v>72</v>
      </c>
      <c r="C16" s="8" t="n">
        <v>5</v>
      </c>
      <c r="D16" s="22" t="n">
        <v>1189.3</v>
      </c>
      <c r="E16" s="23" t="n">
        <v>243.4601293327</v>
      </c>
      <c r="F16" s="22" t="n"/>
      <c r="G16" s="15">
        <f>IF(F16="","",D16-F16)</f>
        <v/>
      </c>
      <c r="H16" s="15">
        <f>IF(F16="","",G16/D16*100)</f>
        <v/>
      </c>
      <c r="I16" s="16">
        <f>IF(F16="","",8760*G16/(E16*B16*$B$4))</f>
        <v/>
      </c>
    </row>
    <row r="17">
      <c r="A17" s="8" t="n">
        <v>7</v>
      </c>
      <c r="B17" s="8" t="n">
        <v>168</v>
      </c>
      <c r="C17" s="8" t="n">
        <v>1</v>
      </c>
      <c r="D17" s="22" t="n">
        <v>1238.8</v>
      </c>
      <c r="E17" s="23" t="n">
        <v>243.67579872824</v>
      </c>
      <c r="F17" s="22" t="n">
        <v>1235.6</v>
      </c>
      <c r="G17" s="15">
        <f>IF(F17="","",D17-F17)</f>
        <v/>
      </c>
      <c r="H17" s="15">
        <f>IF(F17="","",G17/D17*100)</f>
        <v/>
      </c>
      <c r="I17" s="16">
        <f>IF(F17="","",8760*G17/(E17*B17*$B$4))</f>
        <v/>
      </c>
    </row>
    <row r="18">
      <c r="A18" s="8" t="n">
        <v>7</v>
      </c>
      <c r="B18" s="8" t="n">
        <v>168</v>
      </c>
      <c r="C18" s="8" t="n">
        <v>2</v>
      </c>
      <c r="D18" s="22" t="n">
        <v>1210.8</v>
      </c>
      <c r="E18" s="23" t="n">
        <v>245.3546668546801</v>
      </c>
      <c r="F18" s="22" t="n"/>
      <c r="G18" s="15">
        <f>IF(F18="","",D18-F18)</f>
        <v/>
      </c>
      <c r="H18" s="15">
        <f>IF(F18="","",G18/D18*100)</f>
        <v/>
      </c>
      <c r="I18" s="16">
        <f>IF(F18="","",8760*G18/(E18*B18*$B$4))</f>
        <v/>
      </c>
    </row>
    <row r="19">
      <c r="A19" s="8" t="n">
        <v>7</v>
      </c>
      <c r="B19" s="8" t="n">
        <v>168</v>
      </c>
      <c r="C19" s="8" t="n">
        <v>3</v>
      </c>
      <c r="D19" s="22" t="n">
        <v>1206.7</v>
      </c>
      <c r="E19" s="23" t="n">
        <v>246.9117975411201</v>
      </c>
      <c r="F19" s="22" t="n">
        <v>1205</v>
      </c>
      <c r="G19" s="15">
        <f>IF(F19="","",D19-F19)</f>
        <v/>
      </c>
      <c r="H19" s="15">
        <f>IF(F19="","",G19/D19*100)</f>
        <v/>
      </c>
      <c r="I19" s="16">
        <f>IF(F19="","",8760*G19/(E19*B19*$B$4))</f>
        <v/>
      </c>
    </row>
    <row r="20">
      <c r="A20" s="8" t="n">
        <v>7</v>
      </c>
      <c r="B20" s="8" t="n">
        <v>168</v>
      </c>
      <c r="C20" s="8" t="n">
        <v>4</v>
      </c>
      <c r="D20" s="22" t="n">
        <v>1199.6</v>
      </c>
      <c r="E20" s="23" t="n">
        <v>245.7478372732201</v>
      </c>
      <c r="F20" s="22" t="n"/>
      <c r="G20" s="15">
        <f>IF(F20="","",D20-F20)</f>
        <v/>
      </c>
      <c r="H20" s="15">
        <f>IF(F20="","",G20/D20*100)</f>
        <v/>
      </c>
      <c r="I20" s="16">
        <f>IF(F20="","",8760*G20/(E20*B20*$B$4))</f>
        <v/>
      </c>
    </row>
    <row r="21">
      <c r="A21" s="8" t="n">
        <v>7</v>
      </c>
      <c r="B21" s="8" t="n">
        <v>168</v>
      </c>
      <c r="C21" s="8" t="n">
        <v>5</v>
      </c>
      <c r="D21" s="22" t="n">
        <v>1179.8</v>
      </c>
      <c r="E21" s="23" t="n">
        <v>241.7950842147</v>
      </c>
      <c r="F21" s="22" t="n">
        <v>1177.1</v>
      </c>
      <c r="G21" s="15">
        <f>IF(F21="","",D21-F21)</f>
        <v/>
      </c>
      <c r="H21" s="15">
        <f>IF(F21="","",G21/D21*100)</f>
        <v/>
      </c>
      <c r="I21" s="16">
        <f>IF(F21="","",8760*G21/(E21*B21*$B$4))</f>
        <v/>
      </c>
    </row>
    <row r="22">
      <c r="A22" s="8" t="n">
        <v>14</v>
      </c>
      <c r="B22" s="8" t="n">
        <v>336</v>
      </c>
      <c r="C22" s="8" t="n">
        <v>1</v>
      </c>
      <c r="D22" s="22" t="n">
        <v>1204.3</v>
      </c>
      <c r="E22" s="23" t="n">
        <v>244.61969137056</v>
      </c>
      <c r="F22" s="22" t="n">
        <v>1201</v>
      </c>
      <c r="G22" s="15">
        <f>IF(F22="","",D22-F22)</f>
        <v/>
      </c>
      <c r="H22" s="15">
        <f>IF(F22="","",G22/D22*100)</f>
        <v/>
      </c>
      <c r="I22" s="16">
        <f>IF(F22="","",8760*G22/(E22*B22*$B$4))</f>
        <v/>
      </c>
    </row>
    <row r="23">
      <c r="A23" s="8" t="n">
        <v>14</v>
      </c>
      <c r="B23" s="8" t="n">
        <v>336</v>
      </c>
      <c r="C23" s="8" t="n">
        <v>2</v>
      </c>
      <c r="D23" s="22" t="n">
        <v>1182.6</v>
      </c>
      <c r="E23" s="23" t="n">
        <v>245.421269037</v>
      </c>
      <c r="F23" s="22" t="n">
        <v>1180.4</v>
      </c>
      <c r="G23" s="15">
        <f>IF(F23="","",D23-F23)</f>
        <v/>
      </c>
      <c r="H23" s="15">
        <f>IF(F23="","",G23/D23*100)</f>
        <v/>
      </c>
      <c r="I23" s="16">
        <f>IF(F23="","",8760*G23/(E23*B23*$B$4))</f>
        <v/>
      </c>
    </row>
    <row r="24">
      <c r="A24" s="8" t="n">
        <v>14</v>
      </c>
      <c r="B24" s="8" t="n">
        <v>336</v>
      </c>
      <c r="C24" s="8" t="n">
        <v>3</v>
      </c>
      <c r="D24" s="22" t="n">
        <v>1188.8</v>
      </c>
      <c r="E24" s="23" t="n">
        <v>245.044277925</v>
      </c>
      <c r="F24" s="22" t="n">
        <v>1185.2</v>
      </c>
      <c r="G24" s="15">
        <f>IF(F24="","",D24-F24)</f>
        <v/>
      </c>
      <c r="H24" s="15">
        <f>IF(F24="","",G24/D24*100)</f>
        <v/>
      </c>
      <c r="I24" s="16">
        <f>IF(F24="","",8760*G24/(E24*B24*$B$4))</f>
        <v/>
      </c>
    </row>
    <row r="25">
      <c r="A25" s="8" t="n">
        <v>14</v>
      </c>
      <c r="B25" s="8" t="n">
        <v>336</v>
      </c>
      <c r="C25" s="8" t="n">
        <v>4</v>
      </c>
      <c r="D25" s="22" t="n">
        <v>1184.5</v>
      </c>
      <c r="E25" s="23" t="n">
        <v>243.4915454679001</v>
      </c>
      <c r="F25" s="22" t="n"/>
      <c r="G25" s="15">
        <f>IF(F25="","",D25-F25)</f>
        <v/>
      </c>
      <c r="H25" s="15">
        <f>IF(F25="","",G25/D25*100)</f>
        <v/>
      </c>
      <c r="I25" s="16">
        <f>IF(F25="","",8760*G25/(E25*B25*$B$4))</f>
        <v/>
      </c>
    </row>
    <row r="26">
      <c r="A26" s="8" t="n">
        <v>14</v>
      </c>
      <c r="B26" s="8" t="n">
        <v>336</v>
      </c>
      <c r="C26" s="8" t="n">
        <v>5</v>
      </c>
      <c r="D26" s="22" t="n">
        <v>1175.7</v>
      </c>
      <c r="E26" s="23" t="n">
        <v>244.667286813</v>
      </c>
      <c r="F26" s="22" t="n"/>
      <c r="G26" s="15">
        <f>IF(F26="","",D26-F26)</f>
        <v/>
      </c>
      <c r="H26" s="15">
        <f>IF(F26="","",G26/D26*100)</f>
        <v/>
      </c>
      <c r="I26" s="16">
        <f>IF(F26="","",8760*G26/(E26*B26*$B$4))</f>
        <v/>
      </c>
    </row>
    <row r="27">
      <c r="A27" s="8" t="n">
        <v>28</v>
      </c>
      <c r="B27" s="8" t="n">
        <v>672</v>
      </c>
      <c r="C27" s="8" t="n">
        <v>1</v>
      </c>
      <c r="D27" s="22" t="n">
        <v>1178.2</v>
      </c>
      <c r="E27" s="23" t="n">
        <v>241.92828857214</v>
      </c>
      <c r="F27" s="22" t="n">
        <v>1175.3</v>
      </c>
      <c r="G27" s="15">
        <f>IF(F27="","",D27-F27)</f>
        <v/>
      </c>
      <c r="H27" s="15">
        <f>IF(F27="","",G27/D27*100)</f>
        <v/>
      </c>
      <c r="I27" s="16">
        <f>IF(F27="","",8760*G27/(E27*B27*$B$4))</f>
        <v/>
      </c>
    </row>
    <row r="28">
      <c r="A28" s="8" t="n">
        <v>28</v>
      </c>
      <c r="B28" s="8" t="n">
        <v>672</v>
      </c>
      <c r="C28" s="8" t="n">
        <v>2</v>
      </c>
      <c r="D28" s="22" t="n">
        <v>1194.7</v>
      </c>
      <c r="E28" s="23" t="n">
        <v>243.1002600049201</v>
      </c>
      <c r="F28" s="22" t="n">
        <v>1191.8</v>
      </c>
      <c r="G28" s="15">
        <f>IF(F28="","",D28-F28)</f>
        <v/>
      </c>
      <c r="H28" s="15">
        <f>IF(F28="","",G28/D28*100)</f>
        <v/>
      </c>
      <c r="I28" s="16">
        <f>IF(F28="","",8760*G28/(E28*B28*$B$4))</f>
        <v/>
      </c>
    </row>
    <row r="29">
      <c r="A29" s="8" t="n">
        <v>28</v>
      </c>
      <c r="B29" s="8" t="n">
        <v>672</v>
      </c>
      <c r="C29" s="8" t="n">
        <v>3</v>
      </c>
      <c r="D29" s="22" t="n">
        <v>1171.9</v>
      </c>
      <c r="E29" s="23" t="n">
        <v>238.1924638362</v>
      </c>
      <c r="F29" s="22" t="n">
        <v>1166.7</v>
      </c>
      <c r="G29" s="15">
        <f>IF(F29="","",D29-F29)</f>
        <v/>
      </c>
      <c r="H29" s="15">
        <f>IF(F29="","",G29/D29*100)</f>
        <v/>
      </c>
      <c r="I29" s="16">
        <f>IF(F29="","",8760*G29/(E29*B29*$B$4))</f>
        <v/>
      </c>
    </row>
    <row r="30">
      <c r="A30" s="8" t="n">
        <v>28</v>
      </c>
      <c r="B30" s="8" t="n">
        <v>672</v>
      </c>
      <c r="C30" s="8" t="n">
        <v>4</v>
      </c>
      <c r="D30" s="22" t="n">
        <v>1187.5</v>
      </c>
      <c r="E30" s="23" t="n">
        <v>242.7245255299601</v>
      </c>
      <c r="F30" s="22" t="n"/>
      <c r="G30" s="15">
        <f>IF(F30="","",D30-F30)</f>
        <v/>
      </c>
      <c r="H30" s="15">
        <f>IF(F30="","",G30/D30*100)</f>
        <v/>
      </c>
      <c r="I30" s="16">
        <f>IF(F30="","",8760*G30/(E30*B30*$B$4))</f>
        <v/>
      </c>
    </row>
    <row r="31">
      <c r="A31" s="8" t="n">
        <v>28</v>
      </c>
      <c r="B31" s="8" t="n">
        <v>672</v>
      </c>
      <c r="C31" s="8" t="n">
        <v>5</v>
      </c>
      <c r="D31" s="22" t="n">
        <v>1205.7</v>
      </c>
      <c r="E31" s="23" t="n">
        <v>244.6358706772</v>
      </c>
      <c r="F31" s="22" t="n"/>
      <c r="G31" s="15">
        <f>IF(F31="","",D31-F31)</f>
        <v/>
      </c>
      <c r="H31" s="15">
        <f>IF(F31="","",G31/D31*100)</f>
        <v/>
      </c>
      <c r="I31" s="16">
        <f>IF(F31="","",8760*G31/(E31*B31*$B$4))</f>
        <v/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7" customWidth="1" min="4" max="4"/>
    <col width="18" customWidth="1" min="5" max="5"/>
    <col width="22" customWidth="1" min="6" max="6"/>
    <col width="23" customWidth="1" min="7" max="7"/>
  </cols>
  <sheetData>
    <row r="1" ht="24" customHeight="1">
      <c r="A1" s="3" t="inlineStr">
        <is>
          <t>Pure Zn -- 28-Day HBSS Immersion: Summary by Duration</t>
        </is>
      </c>
    </row>
    <row r="3" ht="34" customHeight="1">
      <c r="A3" s="7" t="inlineStr">
        <is>
          <t>Duration (days)</t>
        </is>
      </c>
      <c r="B3" s="7" t="inlineStr">
        <is>
          <t>Time (h)</t>
        </is>
      </c>
      <c r="C3" s="7" t="inlineStr">
        <is>
          <t>N (specimens)</t>
        </is>
      </c>
      <c r="D3" s="7" t="inlineStr">
        <is>
          <t>Avg Weight Loss (%)</t>
        </is>
      </c>
      <c r="E3" s="7" t="inlineStr">
        <is>
          <t>StDev Weight Loss (%)</t>
        </is>
      </c>
      <c r="F3" s="7" t="inlineStr">
        <is>
          <t>Avg Degradation Rate (mm/year)</t>
        </is>
      </c>
      <c r="G3" s="7" t="inlineStr">
        <is>
          <t>StDev Degradation Rate (mm/year)</t>
        </is>
      </c>
    </row>
    <row r="4">
      <c r="A4" s="17" t="n">
        <v>0</v>
      </c>
      <c r="B4" s="17" t="n">
        <v>0</v>
      </c>
      <c r="C4" s="17" t="n">
        <v>0</v>
      </c>
      <c r="D4" s="18" t="n">
        <v>0</v>
      </c>
      <c r="E4" s="18" t="n">
        <v>0</v>
      </c>
      <c r="F4" s="18" t="n">
        <v>0</v>
      </c>
      <c r="G4" s="18" t="n">
        <v>0</v>
      </c>
    </row>
    <row r="5">
      <c r="A5" s="17" t="n">
        <v>1</v>
      </c>
      <c r="B5" s="17" t="n">
        <v>24</v>
      </c>
      <c r="C5" s="19">
        <f>COUNT('Specimen Data'!H7:H11)</f>
        <v/>
      </c>
      <c r="D5" s="20">
        <f>AVERAGE('Specimen Data'!H7:H11)</f>
        <v/>
      </c>
      <c r="E5" s="20">
        <f>STDEV('Specimen Data'!H7:H11)</f>
        <v/>
      </c>
      <c r="F5" s="20">
        <f>AVERAGE('Specimen Data'!I7:I11)</f>
        <v/>
      </c>
      <c r="G5" s="20">
        <f>STDEV('Specimen Data'!I7:I11)</f>
        <v/>
      </c>
    </row>
    <row r="6">
      <c r="A6" s="17" t="n">
        <v>3</v>
      </c>
      <c r="B6" s="17" t="n">
        <v>72</v>
      </c>
      <c r="C6" s="19">
        <f>COUNT('Specimen Data'!H12:H16)</f>
        <v/>
      </c>
      <c r="D6" s="20">
        <f>AVERAGE('Specimen Data'!H12:H16)</f>
        <v/>
      </c>
      <c r="E6" s="20">
        <f>STDEV('Specimen Data'!H12:H16)</f>
        <v/>
      </c>
      <c r="F6" s="20">
        <f>AVERAGE('Specimen Data'!I12:I16)</f>
        <v/>
      </c>
      <c r="G6" s="20">
        <f>STDEV('Specimen Data'!I12:I16)</f>
        <v/>
      </c>
    </row>
    <row r="7">
      <c r="A7" s="17" t="n">
        <v>7</v>
      </c>
      <c r="B7" s="17" t="n">
        <v>168</v>
      </c>
      <c r="C7" s="19">
        <f>COUNT('Specimen Data'!H17:H21)</f>
        <v/>
      </c>
      <c r="D7" s="20">
        <f>AVERAGE('Specimen Data'!H17:H21)</f>
        <v/>
      </c>
      <c r="E7" s="20">
        <f>STDEV('Specimen Data'!H17:H21)</f>
        <v/>
      </c>
      <c r="F7" s="20">
        <f>AVERAGE('Specimen Data'!I17:I21)</f>
        <v/>
      </c>
      <c r="G7" s="20">
        <f>STDEV('Specimen Data'!I17:I21)</f>
        <v/>
      </c>
    </row>
    <row r="8">
      <c r="A8" s="17" t="n">
        <v>14</v>
      </c>
      <c r="B8" s="17" t="n">
        <v>336</v>
      </c>
      <c r="C8" s="19">
        <f>COUNT('Specimen Data'!H22:H26)</f>
        <v/>
      </c>
      <c r="D8" s="20">
        <f>AVERAGE('Specimen Data'!H22:H26)</f>
        <v/>
      </c>
      <c r="E8" s="20">
        <f>STDEV('Specimen Data'!H22:H26)</f>
        <v/>
      </c>
      <c r="F8" s="20">
        <f>AVERAGE('Specimen Data'!I22:I26)</f>
        <v/>
      </c>
      <c r="G8" s="20">
        <f>STDEV('Specimen Data'!I22:I26)</f>
        <v/>
      </c>
    </row>
    <row r="9">
      <c r="A9" s="17" t="n">
        <v>28</v>
      </c>
      <c r="B9" s="17" t="n">
        <v>672</v>
      </c>
      <c r="C9" s="19">
        <f>COUNT('Specimen Data'!H27:H31)</f>
        <v/>
      </c>
      <c r="D9" s="20">
        <f>AVERAGE('Specimen Data'!H27:H31)</f>
        <v/>
      </c>
      <c r="E9" s="20">
        <f>STDEV('Specimen Data'!H27:H31)</f>
        <v/>
      </c>
      <c r="F9" s="20">
        <f>AVERAGE('Specimen Data'!I27:I31)</f>
        <v/>
      </c>
      <c r="G9" s="20">
        <f>STDEV('Specimen Data'!I27:I31)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Xuan Yang</dc:creator>
  <dcterms:created xmlns:dcterms="http://purl.org/dc/terms/" xmlns:xsi="http://www.w3.org/2001/XMLSchema-instance" xsi:type="dcterms:W3CDTF">2025-12-17T04:17:56Z</dcterms:created>
  <dcterms:modified xmlns:dcterms="http://purl.org/dc/terms/" xmlns:xsi="http://www.w3.org/2001/XMLSchema-instance" xsi:type="dcterms:W3CDTF">2026-08-07T05:45:21Z</dcterms:modified>
  <cp:lastModifiedBy>Henaka Ariyarathna</cp:lastModifiedBy>
</cp:coreProperties>
</file>